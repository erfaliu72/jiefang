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<sst xmlns="http://schemas.openxmlformats.org/spreadsheetml/2006/main" count="256" uniqueCount="40">
  <si>
    <t>应收账款逾期明细表</t>
  </si>
  <si>
    <t>日期</t>
  </si>
  <si>
    <t>归属公司</t>
  </si>
  <si>
    <t>客户名称</t>
  </si>
  <si>
    <t>车架号</t>
  </si>
  <si>
    <t>车牌号</t>
  </si>
  <si>
    <t>租赁方式</t>
  </si>
  <si>
    <t>租赁期</t>
  </si>
  <si>
    <t>月供/租金</t>
  </si>
  <si>
    <t>开票</t>
  </si>
  <si>
    <t>回款</t>
  </si>
  <si>
    <t>逾期金额</t>
  </si>
  <si>
    <t>逾期天数</t>
  </si>
  <si>
    <t>违约天数</t>
  </si>
  <si>
    <t>违约费率</t>
  </si>
  <si>
    <t>违约金</t>
  </si>
  <si>
    <t>是否
收取</t>
  </si>
  <si>
    <t>业务员</t>
  </si>
  <si>
    <t>渠道</t>
  </si>
  <si>
    <t>备注</t>
  </si>
  <si>
    <t>租期起</t>
  </si>
  <si>
    <t>租期止</t>
  </si>
  <si>
    <t>应还款日期</t>
  </si>
  <si>
    <t>金额</t>
  </si>
  <si>
    <t>发票号码</t>
  </si>
  <si>
    <t>回款日期</t>
  </si>
  <si>
    <t>回款金额</t>
  </si>
  <si>
    <t>陕西启顺安驰汽车物流有限公司</t>
  </si>
  <si>
    <t>白喜喜-花之租扣款</t>
  </si>
  <si>
    <t>LFNA4LJA7SAE10482</t>
  </si>
  <si>
    <t>陕U869GD</t>
  </si>
  <si>
    <t>首付款</t>
  </si>
  <si>
    <t>王红</t>
  </si>
  <si>
    <t>以租代购</t>
  </si>
  <si>
    <t>11.25花芝租已代扣</t>
  </si>
  <si>
    <t>12.25提醒</t>
  </si>
  <si>
    <t>1.24提醒</t>
  </si>
  <si>
    <r>
      <t>2.25提醒</t>
    </r>
    <r>
      <rPr>
        <sz val="11"/>
        <color rgb="FF000000"/>
        <rFont val="宋体"/>
        <charset val="134"/>
      </rPr>
      <t xml:space="preserve">   </t>
    </r>
    <r>
      <rPr>
        <sz val="11"/>
        <color rgb="FF000000"/>
        <rFont val="宋体"/>
        <charset val="134"/>
      </rPr>
      <t>2.28提醒</t>
    </r>
  </si>
  <si>
    <t>4.30提醒，5.5提醒</t>
  </si>
  <si>
    <t>5.13提醒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</si>
</sst>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  <numFmt numFmtId="178" formatCode="0_ "/>
  </numFmts>
  <fonts count="27">
    <font>
      <sz val="11"/>
      <color theme="1"/>
      <name val="宋体"/>
      <charset val="134"/>
      <scheme val="minor"/>
    </font>
    <font>
      <sz val="20"/>
      <color rgb="FF000000"/>
      <name val="思源宋体 CN Light"/>
      <charset val="134"/>
    </font>
    <font>
      <sz val="11"/>
      <color rgb="FF000000"/>
      <name val="宋体"/>
      <charset val="134"/>
    </font>
    <font>
      <sz val="10"/>
      <color rgb="FF000000"/>
      <name val="思源宋体 CN Light"/>
      <charset val="134"/>
    </font>
    <font>
      <sz val="11"/>
      <color rgb="FF000000"/>
      <name val="思源宋体 CN Light"/>
      <charset val="134"/>
    </font>
    <font>
      <b/>
      <sz val="10"/>
      <color rgb="FFFFFFFF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176" fontId="5" fillId="2" borderId="2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6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selection activeCell="L15" sqref="L15"/>
    </sheetView>
  </sheetViews>
  <sheetFormatPr defaultColWidth="9" defaultRowHeight="13.5"/>
  <cols>
    <col min="1" max="1" width="25.75" customWidth="1"/>
    <col min="2" max="2" width="15.875" customWidth="1"/>
    <col min="3" max="3" width="14.625" customWidth="1"/>
    <col min="4" max="4" width="9.25" customWidth="1"/>
    <col min="5" max="5" width="8.375" customWidth="1"/>
    <col min="6" max="8" width="11.5" customWidth="1"/>
    <col min="9" max="9" width="9.25" customWidth="1"/>
    <col min="10" max="10" width="4.875" customWidth="1"/>
    <col min="11" max="11" width="8.375" customWidth="1"/>
    <col min="12" max="13" width="11.5" customWidth="1"/>
    <col min="14" max="17" width="8.375" customWidth="1"/>
    <col min="18" max="18" width="8.625" customWidth="1"/>
    <col min="19" max="19" width="10.375" customWidth="1"/>
    <col min="20" max="20" width="6.625" customWidth="1"/>
    <col min="21" max="21" width="4.875" customWidth="1"/>
    <col min="22" max="22" width="20.75" customWidth="1"/>
  </cols>
  <sheetData>
    <row r="1" ht="25.5" customHeight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</row>
    <row r="2" customHeight="1" spans="1:23">
      <c r="A2" s="3"/>
      <c r="B2" s="4"/>
      <c r="C2" s="4"/>
      <c r="D2" s="5"/>
      <c r="E2" s="4"/>
      <c r="F2" s="6"/>
      <c r="G2" s="6"/>
      <c r="H2" s="6"/>
      <c r="I2" s="7"/>
      <c r="J2" s="6"/>
      <c r="K2" s="5"/>
      <c r="L2" s="6"/>
      <c r="M2" s="8"/>
      <c r="N2" s="8"/>
      <c r="O2" s="5" t="s">
        <v>1</v>
      </c>
      <c r="P2" s="6">
        <v>46176.4194212963</v>
      </c>
      <c r="Q2" s="6"/>
      <c r="R2" s="9"/>
      <c r="S2" s="5"/>
      <c r="T2" s="3"/>
      <c r="U2" s="10"/>
      <c r="V2" s="10"/>
      <c r="W2" s="2"/>
    </row>
    <row r="3" customHeight="1" spans="1:23">
      <c r="A3" s="11" t="s">
        <v>2</v>
      </c>
      <c r="B3" s="12" t="s">
        <v>3</v>
      </c>
      <c r="C3" s="11" t="s">
        <v>4</v>
      </c>
      <c r="D3" s="11" t="s">
        <v>5</v>
      </c>
      <c r="E3" s="11" t="s">
        <v>6</v>
      </c>
      <c r="F3" s="13" t="s">
        <v>7</v>
      </c>
      <c r="G3" s="13"/>
      <c r="H3" s="13" t="s">
        <v>8</v>
      </c>
      <c r="I3" s="13"/>
      <c r="J3" s="13" t="s">
        <v>9</v>
      </c>
      <c r="K3" s="13"/>
      <c r="L3" s="13" t="s">
        <v>10</v>
      </c>
      <c r="M3" s="13"/>
      <c r="N3" s="14" t="s">
        <v>11</v>
      </c>
      <c r="O3" s="11" t="s">
        <v>12</v>
      </c>
      <c r="P3" s="11" t="s">
        <v>13</v>
      </c>
      <c r="Q3" s="11" t="s">
        <v>14</v>
      </c>
      <c r="R3" s="15" t="s">
        <v>15</v>
      </c>
      <c r="S3" s="15" t="s">
        <v>16</v>
      </c>
      <c r="T3" s="11" t="s">
        <v>17</v>
      </c>
      <c r="U3" s="16" t="s">
        <v>18</v>
      </c>
      <c r="V3" s="17" t="s">
        <v>19</v>
      </c>
      <c r="W3" s="18"/>
    </row>
    <row r="4" spans="1:23">
      <c r="A4" s="11"/>
      <c r="B4" s="12"/>
      <c r="C4" s="11"/>
      <c r="D4" s="11"/>
      <c r="E4" s="11"/>
      <c r="F4" s="19" t="s">
        <v>20</v>
      </c>
      <c r="G4" s="13" t="s">
        <v>21</v>
      </c>
      <c r="H4" s="13" t="s">
        <v>22</v>
      </c>
      <c r="I4" s="20" t="s">
        <v>23</v>
      </c>
      <c r="J4" s="13" t="s">
        <v>1</v>
      </c>
      <c r="K4" s="11" t="s">
        <v>24</v>
      </c>
      <c r="L4" s="13" t="s">
        <v>25</v>
      </c>
      <c r="M4" s="13" t="s">
        <v>26</v>
      </c>
      <c r="N4" s="14"/>
      <c r="O4" s="11"/>
      <c r="P4" s="11"/>
      <c r="Q4" s="11"/>
      <c r="R4" s="15"/>
      <c r="S4" s="15"/>
      <c r="T4" s="11"/>
      <c r="U4" s="16"/>
      <c r="V4" s="17"/>
      <c r="W4" s="18"/>
    </row>
    <row r="5" spans="1:23">
      <c r="A5" s="21" t="s">
        <v>27</v>
      </c>
      <c r="B5" s="22" t="s">
        <v>28</v>
      </c>
      <c r="C5" s="23" t="s">
        <v>29</v>
      </c>
      <c r="D5" s="24" t="s">
        <v>30</v>
      </c>
      <c r="E5" s="25" t="s">
        <v>31</v>
      </c>
      <c r="F5" s="26">
        <v>45955</v>
      </c>
      <c r="G5" s="27">
        <v>47051</v>
      </c>
      <c r="H5" s="27">
        <v>45955</v>
      </c>
      <c r="I5" s="28">
        <v>34000</v>
      </c>
      <c r="J5" s="29"/>
      <c r="K5" s="18"/>
      <c r="L5" s="30">
        <v>45955</v>
      </c>
      <c r="M5" s="31">
        <v>34000</v>
      </c>
      <c r="N5" s="32">
        <v>0</v>
      </c>
      <c r="O5" s="33">
        <v>0</v>
      </c>
      <c r="P5" s="33">
        <f>IF(M5=0,O5,DATEDIF(H5,L5,"D"))</f>
        <v>0</v>
      </c>
      <c r="Q5" s="34">
        <v>0.0005</v>
      </c>
      <c r="R5" s="35">
        <f>I5*P5*Q5</f>
        <v>0</v>
      </c>
      <c r="S5" s="18"/>
      <c r="T5" s="24" t="s">
        <v>32</v>
      </c>
      <c r="U5" s="36"/>
      <c r="V5" s="18"/>
      <c r="W5" s="2"/>
    </row>
    <row r="6" spans="1:23">
      <c r="A6" s="21" t="s">
        <v>27</v>
      </c>
      <c r="B6" s="22" t="s">
        <v>28</v>
      </c>
      <c r="C6" s="23" t="s">
        <v>29</v>
      </c>
      <c r="D6" s="24" t="s">
        <v>30</v>
      </c>
      <c r="E6" s="25" t="s">
        <v>33</v>
      </c>
      <c r="F6" s="37">
        <v>45955</v>
      </c>
      <c r="G6" s="30">
        <v>45985</v>
      </c>
      <c r="H6" s="30">
        <v>45985</v>
      </c>
      <c r="I6" s="28">
        <v>4000</v>
      </c>
      <c r="J6" s="29"/>
      <c r="K6" s="18"/>
      <c r="L6" s="30">
        <v>45986</v>
      </c>
      <c r="M6" s="31">
        <v>4000</v>
      </c>
      <c r="N6" s="32">
        <v>0</v>
      </c>
      <c r="O6" s="33">
        <v>0</v>
      </c>
      <c r="P6" s="33">
        <f t="shared" ref="P6:P41" si="0">IF(M6=0,O6,DATEDIF(H6,L6,"D"))</f>
        <v>1</v>
      </c>
      <c r="Q6" s="34">
        <v>0.0005</v>
      </c>
      <c r="R6" s="35">
        <f t="shared" ref="R6:R41" si="1">I6*P6*Q6</f>
        <v>2</v>
      </c>
      <c r="S6" s="18"/>
      <c r="T6" s="24" t="s">
        <v>32</v>
      </c>
      <c r="U6" s="36"/>
      <c r="V6" s="18" t="s">
        <v>34</v>
      </c>
      <c r="W6" s="2"/>
    </row>
    <row r="7" spans="1:23">
      <c r="A7" s="21" t="s">
        <v>27</v>
      </c>
      <c r="B7" s="22" t="s">
        <v>28</v>
      </c>
      <c r="C7" s="23" t="s">
        <v>29</v>
      </c>
      <c r="D7" s="24" t="s">
        <v>30</v>
      </c>
      <c r="E7" s="25" t="s">
        <v>33</v>
      </c>
      <c r="F7" s="37">
        <v>45986</v>
      </c>
      <c r="G7" s="30">
        <v>46015</v>
      </c>
      <c r="H7" s="30">
        <v>46015</v>
      </c>
      <c r="I7" s="28">
        <v>4000</v>
      </c>
      <c r="J7" s="29"/>
      <c r="K7" s="18"/>
      <c r="L7" s="30">
        <v>46016</v>
      </c>
      <c r="M7" s="31">
        <v>4000</v>
      </c>
      <c r="N7" s="32">
        <v>0</v>
      </c>
      <c r="O7" s="33">
        <v>0</v>
      </c>
      <c r="P7" s="33">
        <f t="shared" si="0"/>
        <v>1</v>
      </c>
      <c r="Q7" s="34">
        <v>0.0005</v>
      </c>
      <c r="R7" s="35">
        <f t="shared" si="1"/>
        <v>2</v>
      </c>
      <c r="S7" s="18"/>
      <c r="T7" s="24" t="s">
        <v>32</v>
      </c>
      <c r="U7" s="36"/>
      <c r="V7" s="18" t="s">
        <v>35</v>
      </c>
      <c r="W7" s="2"/>
    </row>
    <row r="8" spans="1:23">
      <c r="A8" s="21" t="s">
        <v>27</v>
      </c>
      <c r="B8" s="22" t="s">
        <v>28</v>
      </c>
      <c r="C8" s="23" t="s">
        <v>29</v>
      </c>
      <c r="D8" s="24" t="s">
        <v>30</v>
      </c>
      <c r="E8" s="25" t="s">
        <v>33</v>
      </c>
      <c r="F8" s="37">
        <v>46016</v>
      </c>
      <c r="G8" s="30">
        <v>46046</v>
      </c>
      <c r="H8" s="30">
        <v>46046</v>
      </c>
      <c r="I8" s="28">
        <v>4000</v>
      </c>
      <c r="J8" s="29"/>
      <c r="K8" s="18"/>
      <c r="L8" s="30">
        <v>46047</v>
      </c>
      <c r="M8" s="31">
        <v>4000</v>
      </c>
      <c r="N8" s="32">
        <v>0</v>
      </c>
      <c r="O8" s="33">
        <v>0</v>
      </c>
      <c r="P8" s="33">
        <f t="shared" si="0"/>
        <v>1</v>
      </c>
      <c r="Q8" s="34">
        <v>0.0005</v>
      </c>
      <c r="R8" s="35">
        <f t="shared" si="1"/>
        <v>2</v>
      </c>
      <c r="S8" s="18"/>
      <c r="T8" s="24" t="s">
        <v>32</v>
      </c>
      <c r="U8" s="36"/>
      <c r="V8" s="18" t="s">
        <v>36</v>
      </c>
      <c r="W8" s="2"/>
    </row>
    <row r="9" spans="1:23">
      <c r="A9" s="21" t="s">
        <v>27</v>
      </c>
      <c r="B9" s="22" t="s">
        <v>28</v>
      </c>
      <c r="C9" s="23" t="s">
        <v>29</v>
      </c>
      <c r="D9" s="24" t="s">
        <v>30</v>
      </c>
      <c r="E9" s="25" t="s">
        <v>33</v>
      </c>
      <c r="F9" s="37">
        <v>46047</v>
      </c>
      <c r="G9" s="30">
        <v>46077</v>
      </c>
      <c r="H9" s="30">
        <v>46077</v>
      </c>
      <c r="I9" s="28">
        <v>4000</v>
      </c>
      <c r="J9" s="29"/>
      <c r="K9" s="18"/>
      <c r="L9" s="30">
        <v>46111</v>
      </c>
      <c r="M9" s="31">
        <v>4000</v>
      </c>
      <c r="N9" s="32">
        <v>0</v>
      </c>
      <c r="O9" s="33">
        <v>0</v>
      </c>
      <c r="P9" s="33">
        <f t="shared" si="0"/>
        <v>34</v>
      </c>
      <c r="Q9" s="34">
        <v>0.0005</v>
      </c>
      <c r="R9" s="35">
        <f t="shared" si="1"/>
        <v>68</v>
      </c>
      <c r="S9" s="18"/>
      <c r="T9" s="24" t="s">
        <v>32</v>
      </c>
      <c r="U9" s="36"/>
      <c r="V9" s="36" t="s">
        <v>37</v>
      </c>
      <c r="W9" s="2"/>
    </row>
    <row r="10" spans="1:23">
      <c r="A10" s="21" t="s">
        <v>27</v>
      </c>
      <c r="B10" s="22" t="s">
        <v>28</v>
      </c>
      <c r="C10" s="23" t="s">
        <v>29</v>
      </c>
      <c r="D10" s="24" t="s">
        <v>30</v>
      </c>
      <c r="E10" s="25" t="s">
        <v>33</v>
      </c>
      <c r="F10" s="37">
        <v>46078</v>
      </c>
      <c r="G10" s="30">
        <v>46105</v>
      </c>
      <c r="H10" s="30">
        <v>46105</v>
      </c>
      <c r="I10" s="28">
        <v>4000</v>
      </c>
      <c r="J10" s="29"/>
      <c r="K10" s="18"/>
      <c r="L10" s="30">
        <v>46153</v>
      </c>
      <c r="M10" s="31">
        <v>4000</v>
      </c>
      <c r="N10" s="32">
        <v>0</v>
      </c>
      <c r="O10" s="33">
        <v>0</v>
      </c>
      <c r="P10" s="33">
        <f t="shared" si="0"/>
        <v>48</v>
      </c>
      <c r="Q10" s="34">
        <v>0.0005</v>
      </c>
      <c r="R10" s="35">
        <f t="shared" si="1"/>
        <v>96</v>
      </c>
      <c r="S10" s="18"/>
      <c r="T10" s="24" t="s">
        <v>32</v>
      </c>
      <c r="U10" s="36"/>
      <c r="V10" s="36" t="s">
        <v>38</v>
      </c>
      <c r="W10" s="2"/>
    </row>
    <row r="11" spans="1:23">
      <c r="A11" s="21" t="s">
        <v>27</v>
      </c>
      <c r="B11" s="22" t="s">
        <v>28</v>
      </c>
      <c r="C11" s="23" t="s">
        <v>29</v>
      </c>
      <c r="D11" s="24" t="s">
        <v>30</v>
      </c>
      <c r="E11" s="25" t="s">
        <v>33</v>
      </c>
      <c r="F11" s="37">
        <v>46106</v>
      </c>
      <c r="G11" s="30">
        <v>46136</v>
      </c>
      <c r="H11" s="30">
        <v>46136</v>
      </c>
      <c r="I11" s="28">
        <v>4000</v>
      </c>
      <c r="J11" s="29"/>
      <c r="K11" s="18"/>
      <c r="L11" s="30">
        <v>46170</v>
      </c>
      <c r="M11" s="31">
        <v>4000</v>
      </c>
      <c r="N11" s="32">
        <v>0</v>
      </c>
      <c r="O11" s="33">
        <v>0</v>
      </c>
      <c r="P11" s="33">
        <f t="shared" si="0"/>
        <v>34</v>
      </c>
      <c r="Q11" s="34">
        <v>0.0005</v>
      </c>
      <c r="R11" s="35">
        <f t="shared" si="1"/>
        <v>68</v>
      </c>
      <c r="S11" s="18"/>
      <c r="T11" s="24" t="s">
        <v>32</v>
      </c>
      <c r="U11" s="36"/>
      <c r="V11" s="36" t="s">
        <v>39</v>
      </c>
      <c r="W11" s="2"/>
    </row>
    <row r="12" spans="1:23">
      <c r="A12" s="21" t="s">
        <v>27</v>
      </c>
      <c r="B12" s="22" t="s">
        <v>28</v>
      </c>
      <c r="C12" s="23" t="s">
        <v>29</v>
      </c>
      <c r="D12" s="24" t="s">
        <v>30</v>
      </c>
      <c r="E12" s="25" t="s">
        <v>33</v>
      </c>
      <c r="F12" s="37">
        <v>46137</v>
      </c>
      <c r="G12" s="30">
        <v>46166</v>
      </c>
      <c r="H12" s="30">
        <v>46166</v>
      </c>
      <c r="I12" s="28">
        <v>4000</v>
      </c>
      <c r="J12" s="29"/>
      <c r="K12" s="18"/>
      <c r="L12" s="30">
        <v>46170</v>
      </c>
      <c r="M12" s="31">
        <v>4000</v>
      </c>
      <c r="N12" s="32">
        <v>0</v>
      </c>
      <c r="O12" s="33">
        <v>0</v>
      </c>
      <c r="P12" s="33">
        <f t="shared" si="0"/>
        <v>4</v>
      </c>
      <c r="Q12" s="34">
        <v>0.0005</v>
      </c>
      <c r="R12" s="35">
        <f t="shared" si="1"/>
        <v>8</v>
      </c>
      <c r="S12" s="18"/>
      <c r="T12" s="24" t="s">
        <v>32</v>
      </c>
      <c r="U12" s="36"/>
      <c r="V12" s="36"/>
      <c r="W12" s="2"/>
    </row>
    <row r="13" spans="1:23">
      <c r="A13" s="21" t="s">
        <v>27</v>
      </c>
      <c r="B13" s="22" t="s">
        <v>28</v>
      </c>
      <c r="C13" s="23" t="s">
        <v>29</v>
      </c>
      <c r="D13" s="24" t="s">
        <v>30</v>
      </c>
      <c r="E13" s="25" t="s">
        <v>33</v>
      </c>
      <c r="F13" s="37">
        <v>46167</v>
      </c>
      <c r="G13" s="30">
        <v>46197</v>
      </c>
      <c r="H13" s="30">
        <v>46197</v>
      </c>
      <c r="I13" s="28">
        <v>4000</v>
      </c>
      <c r="J13" s="29"/>
      <c r="K13" s="18"/>
      <c r="L13" s="30"/>
      <c r="M13" s="31"/>
      <c r="N13" s="32">
        <v>0</v>
      </c>
      <c r="O13" s="33">
        <v>0</v>
      </c>
      <c r="P13" s="33">
        <f t="shared" si="0"/>
        <v>0</v>
      </c>
      <c r="Q13" s="34">
        <v>0.0005</v>
      </c>
      <c r="R13" s="35">
        <f t="shared" si="1"/>
        <v>0</v>
      </c>
      <c r="S13" s="18"/>
      <c r="T13" s="24" t="s">
        <v>32</v>
      </c>
      <c r="U13" s="36"/>
      <c r="V13" s="38"/>
      <c r="W13" s="2"/>
    </row>
    <row r="14" spans="1:23">
      <c r="A14" s="21" t="s">
        <v>27</v>
      </c>
      <c r="B14" s="22" t="s">
        <v>28</v>
      </c>
      <c r="C14" s="23" t="s">
        <v>29</v>
      </c>
      <c r="D14" s="24" t="s">
        <v>30</v>
      </c>
      <c r="E14" s="25" t="s">
        <v>33</v>
      </c>
      <c r="F14" s="37">
        <v>46198</v>
      </c>
      <c r="G14" s="30">
        <v>46227</v>
      </c>
      <c r="H14" s="30">
        <v>46227</v>
      </c>
      <c r="I14" s="28">
        <v>4000</v>
      </c>
      <c r="J14" s="29"/>
      <c r="K14" s="18"/>
      <c r="L14" s="30"/>
      <c r="M14" s="31"/>
      <c r="N14" s="32">
        <v>0</v>
      </c>
      <c r="O14" s="33">
        <v>0</v>
      </c>
      <c r="P14" s="33">
        <f t="shared" si="0"/>
        <v>0</v>
      </c>
      <c r="Q14" s="34">
        <v>0.0005</v>
      </c>
      <c r="R14" s="35">
        <f t="shared" si="1"/>
        <v>0</v>
      </c>
      <c r="S14" s="18"/>
      <c r="T14" s="24" t="s">
        <v>32</v>
      </c>
      <c r="U14" s="36"/>
      <c r="V14" s="39"/>
      <c r="W14" s="2"/>
    </row>
    <row r="15" spans="1:23">
      <c r="A15" s="21" t="s">
        <v>27</v>
      </c>
      <c r="B15" s="22" t="s">
        <v>28</v>
      </c>
      <c r="C15" s="23" t="s">
        <v>29</v>
      </c>
      <c r="D15" s="24" t="s">
        <v>30</v>
      </c>
      <c r="E15" s="25" t="s">
        <v>33</v>
      </c>
      <c r="F15" s="37">
        <v>46228</v>
      </c>
      <c r="G15" s="30">
        <v>46258</v>
      </c>
      <c r="H15" s="30">
        <v>46258</v>
      </c>
      <c r="I15" s="28">
        <v>4000</v>
      </c>
      <c r="J15" s="29"/>
      <c r="K15" s="18"/>
      <c r="L15" s="30"/>
      <c r="M15" s="31"/>
      <c r="N15" s="32">
        <v>0</v>
      </c>
      <c r="O15" s="33">
        <v>0</v>
      </c>
      <c r="P15" s="33">
        <f t="shared" si="0"/>
        <v>0</v>
      </c>
      <c r="Q15" s="34">
        <v>0.0005</v>
      </c>
      <c r="R15" s="35">
        <f t="shared" si="1"/>
        <v>0</v>
      </c>
      <c r="S15" s="18"/>
      <c r="T15" s="24" t="s">
        <v>32</v>
      </c>
      <c r="U15" s="36"/>
      <c r="V15" s="39"/>
      <c r="W15" s="2"/>
    </row>
    <row r="16" spans="1:23">
      <c r="A16" s="21" t="s">
        <v>27</v>
      </c>
      <c r="B16" s="22" t="s">
        <v>28</v>
      </c>
      <c r="C16" s="23" t="s">
        <v>29</v>
      </c>
      <c r="D16" s="24" t="s">
        <v>30</v>
      </c>
      <c r="E16" s="25" t="s">
        <v>33</v>
      </c>
      <c r="F16" s="37">
        <v>46259</v>
      </c>
      <c r="G16" s="30">
        <v>46289</v>
      </c>
      <c r="H16" s="30">
        <v>46289</v>
      </c>
      <c r="I16" s="28">
        <v>4000</v>
      </c>
      <c r="J16" s="29"/>
      <c r="K16" s="18"/>
      <c r="L16" s="30"/>
      <c r="M16" s="31"/>
      <c r="N16" s="32">
        <v>0</v>
      </c>
      <c r="O16" s="33">
        <v>0</v>
      </c>
      <c r="P16" s="33">
        <f t="shared" si="0"/>
        <v>0</v>
      </c>
      <c r="Q16" s="34">
        <v>0.0005</v>
      </c>
      <c r="R16" s="35">
        <f t="shared" si="1"/>
        <v>0</v>
      </c>
      <c r="S16" s="18"/>
      <c r="T16" s="24" t="s">
        <v>32</v>
      </c>
      <c r="U16" s="36"/>
      <c r="V16" s="39"/>
      <c r="W16" s="2"/>
    </row>
    <row r="17" spans="1:23">
      <c r="A17" s="21" t="s">
        <v>27</v>
      </c>
      <c r="B17" s="22" t="s">
        <v>28</v>
      </c>
      <c r="C17" s="23" t="s">
        <v>29</v>
      </c>
      <c r="D17" s="24" t="s">
        <v>30</v>
      </c>
      <c r="E17" s="25" t="s">
        <v>33</v>
      </c>
      <c r="F17" s="37">
        <v>46290</v>
      </c>
      <c r="G17" s="30">
        <v>46319</v>
      </c>
      <c r="H17" s="30">
        <v>46319</v>
      </c>
      <c r="I17" s="28">
        <v>4000</v>
      </c>
      <c r="J17" s="29"/>
      <c r="K17" s="18"/>
      <c r="L17" s="30"/>
      <c r="M17" s="31"/>
      <c r="N17" s="32">
        <v>0</v>
      </c>
      <c r="O17" s="33">
        <v>0</v>
      </c>
      <c r="P17" s="33">
        <f t="shared" si="0"/>
        <v>0</v>
      </c>
      <c r="Q17" s="34">
        <v>0.0005</v>
      </c>
      <c r="R17" s="35">
        <f t="shared" si="1"/>
        <v>0</v>
      </c>
      <c r="S17" s="18"/>
      <c r="T17" s="24" t="s">
        <v>32</v>
      </c>
      <c r="U17" s="36"/>
      <c r="V17" s="39"/>
      <c r="W17" s="2"/>
    </row>
    <row r="18" spans="1:23">
      <c r="A18" s="21" t="s">
        <v>27</v>
      </c>
      <c r="B18" s="22" t="s">
        <v>28</v>
      </c>
      <c r="C18" s="23" t="s">
        <v>29</v>
      </c>
      <c r="D18" s="24" t="s">
        <v>30</v>
      </c>
      <c r="E18" s="25" t="s">
        <v>33</v>
      </c>
      <c r="F18" s="37">
        <v>46320</v>
      </c>
      <c r="G18" s="30">
        <v>46350</v>
      </c>
      <c r="H18" s="30">
        <v>46350</v>
      </c>
      <c r="I18" s="28">
        <v>4000</v>
      </c>
      <c r="J18" s="29"/>
      <c r="K18" s="18"/>
      <c r="L18" s="30"/>
      <c r="M18" s="31"/>
      <c r="N18" s="32">
        <v>0</v>
      </c>
      <c r="O18" s="33">
        <v>0</v>
      </c>
      <c r="P18" s="33">
        <f t="shared" si="0"/>
        <v>0</v>
      </c>
      <c r="Q18" s="34">
        <v>0.0005</v>
      </c>
      <c r="R18" s="35">
        <f t="shared" si="1"/>
        <v>0</v>
      </c>
      <c r="S18" s="18"/>
      <c r="T18" s="24" t="s">
        <v>32</v>
      </c>
      <c r="U18" s="36"/>
      <c r="V18" s="39"/>
      <c r="W18" s="2"/>
    </row>
    <row r="19" spans="1:23">
      <c r="A19" s="21" t="s">
        <v>27</v>
      </c>
      <c r="B19" s="22" t="s">
        <v>28</v>
      </c>
      <c r="C19" s="23" t="s">
        <v>29</v>
      </c>
      <c r="D19" s="24" t="s">
        <v>30</v>
      </c>
      <c r="E19" s="25" t="s">
        <v>33</v>
      </c>
      <c r="F19" s="37">
        <v>46351</v>
      </c>
      <c r="G19" s="30">
        <v>46380</v>
      </c>
      <c r="H19" s="30">
        <v>46380</v>
      </c>
      <c r="I19" s="28">
        <v>4000</v>
      </c>
      <c r="J19" s="29"/>
      <c r="K19" s="18"/>
      <c r="L19" s="30"/>
      <c r="M19" s="31"/>
      <c r="N19" s="32">
        <v>0</v>
      </c>
      <c r="O19" s="33">
        <v>0</v>
      </c>
      <c r="P19" s="33">
        <f t="shared" si="0"/>
        <v>0</v>
      </c>
      <c r="Q19" s="34">
        <v>0.0005</v>
      </c>
      <c r="R19" s="35">
        <f t="shared" si="1"/>
        <v>0</v>
      </c>
      <c r="S19" s="18"/>
      <c r="T19" s="24" t="s">
        <v>32</v>
      </c>
      <c r="U19" s="36"/>
      <c r="V19" s="39"/>
      <c r="W19" s="2"/>
    </row>
    <row r="20" spans="1:23">
      <c r="A20" s="21" t="s">
        <v>27</v>
      </c>
      <c r="B20" s="22" t="s">
        <v>28</v>
      </c>
      <c r="C20" s="23" t="s">
        <v>29</v>
      </c>
      <c r="D20" s="24" t="s">
        <v>30</v>
      </c>
      <c r="E20" s="25" t="s">
        <v>33</v>
      </c>
      <c r="F20" s="37">
        <v>46381</v>
      </c>
      <c r="G20" s="30">
        <v>46411</v>
      </c>
      <c r="H20" s="30">
        <v>46411</v>
      </c>
      <c r="I20" s="28">
        <v>4000</v>
      </c>
      <c r="J20" s="29"/>
      <c r="K20" s="18"/>
      <c r="L20" s="30"/>
      <c r="M20" s="31"/>
      <c r="N20" s="32">
        <v>0</v>
      </c>
      <c r="O20" s="33">
        <v>0</v>
      </c>
      <c r="P20" s="33">
        <f t="shared" si="0"/>
        <v>0</v>
      </c>
      <c r="Q20" s="34">
        <v>0.0005</v>
      </c>
      <c r="R20" s="35">
        <f t="shared" si="1"/>
        <v>0</v>
      </c>
      <c r="S20" s="18"/>
      <c r="T20" s="24" t="s">
        <v>32</v>
      </c>
      <c r="U20" s="36"/>
      <c r="V20" s="39"/>
      <c r="W20" s="2"/>
    </row>
    <row r="21" spans="1:23">
      <c r="A21" s="21" t="s">
        <v>27</v>
      </c>
      <c r="B21" s="22" t="s">
        <v>28</v>
      </c>
      <c r="C21" s="23" t="s">
        <v>29</v>
      </c>
      <c r="D21" s="24" t="s">
        <v>30</v>
      </c>
      <c r="E21" s="25" t="s">
        <v>33</v>
      </c>
      <c r="F21" s="37">
        <v>46412</v>
      </c>
      <c r="G21" s="30">
        <v>46442</v>
      </c>
      <c r="H21" s="30">
        <v>46442</v>
      </c>
      <c r="I21" s="28">
        <v>4000</v>
      </c>
      <c r="J21" s="29"/>
      <c r="K21" s="18"/>
      <c r="L21" s="30"/>
      <c r="M21" s="31"/>
      <c r="N21" s="32">
        <v>0</v>
      </c>
      <c r="O21" s="33">
        <v>0</v>
      </c>
      <c r="P21" s="33">
        <f t="shared" si="0"/>
        <v>0</v>
      </c>
      <c r="Q21" s="34">
        <v>0.0005</v>
      </c>
      <c r="R21" s="35">
        <f t="shared" si="1"/>
        <v>0</v>
      </c>
      <c r="S21" s="18"/>
      <c r="T21" s="24" t="s">
        <v>32</v>
      </c>
      <c r="U21" s="36"/>
      <c r="V21" s="39"/>
      <c r="W21" s="2"/>
    </row>
    <row r="22" spans="1:23">
      <c r="A22" s="21" t="s">
        <v>27</v>
      </c>
      <c r="B22" s="22" t="s">
        <v>28</v>
      </c>
      <c r="C22" s="23" t="s">
        <v>29</v>
      </c>
      <c r="D22" s="24" t="s">
        <v>30</v>
      </c>
      <c r="E22" s="25" t="s">
        <v>33</v>
      </c>
      <c r="F22" s="37">
        <v>46443</v>
      </c>
      <c r="G22" s="30">
        <v>46470</v>
      </c>
      <c r="H22" s="30">
        <v>46470</v>
      </c>
      <c r="I22" s="28">
        <v>4000</v>
      </c>
      <c r="J22" s="29"/>
      <c r="K22" s="18"/>
      <c r="L22" s="30"/>
      <c r="M22" s="31"/>
      <c r="N22" s="32">
        <v>0</v>
      </c>
      <c r="O22" s="33">
        <v>0</v>
      </c>
      <c r="P22" s="33">
        <f t="shared" si="0"/>
        <v>0</v>
      </c>
      <c r="Q22" s="34">
        <v>0.0005</v>
      </c>
      <c r="R22" s="35">
        <f t="shared" si="1"/>
        <v>0</v>
      </c>
      <c r="S22" s="18"/>
      <c r="T22" s="24" t="s">
        <v>32</v>
      </c>
      <c r="U22" s="36"/>
      <c r="V22" s="39"/>
      <c r="W22" s="2"/>
    </row>
    <row r="23" spans="1:23">
      <c r="A23" s="21" t="s">
        <v>27</v>
      </c>
      <c r="B23" s="22" t="s">
        <v>28</v>
      </c>
      <c r="C23" s="23" t="s">
        <v>29</v>
      </c>
      <c r="D23" s="24" t="s">
        <v>30</v>
      </c>
      <c r="E23" s="25" t="s">
        <v>33</v>
      </c>
      <c r="F23" s="37">
        <v>46471</v>
      </c>
      <c r="G23" s="30">
        <v>46501</v>
      </c>
      <c r="H23" s="30">
        <v>46501</v>
      </c>
      <c r="I23" s="28">
        <v>4000</v>
      </c>
      <c r="J23" s="29"/>
      <c r="K23" s="18"/>
      <c r="L23" s="30"/>
      <c r="M23" s="31"/>
      <c r="N23" s="32">
        <v>0</v>
      </c>
      <c r="O23" s="33">
        <v>0</v>
      </c>
      <c r="P23" s="33">
        <f t="shared" si="0"/>
        <v>0</v>
      </c>
      <c r="Q23" s="34">
        <v>0.0005</v>
      </c>
      <c r="R23" s="35">
        <f t="shared" si="1"/>
        <v>0</v>
      </c>
      <c r="S23" s="18"/>
      <c r="T23" s="24" t="s">
        <v>32</v>
      </c>
      <c r="U23" s="36"/>
      <c r="V23" s="39"/>
      <c r="W23" s="2"/>
    </row>
    <row r="24" spans="1:23">
      <c r="A24" s="21" t="s">
        <v>27</v>
      </c>
      <c r="B24" s="22" t="s">
        <v>28</v>
      </c>
      <c r="C24" s="23" t="s">
        <v>29</v>
      </c>
      <c r="D24" s="24" t="s">
        <v>30</v>
      </c>
      <c r="E24" s="25" t="s">
        <v>33</v>
      </c>
      <c r="F24" s="37">
        <v>46502</v>
      </c>
      <c r="G24" s="30">
        <v>46531</v>
      </c>
      <c r="H24" s="30">
        <v>46531</v>
      </c>
      <c r="I24" s="28">
        <v>4000</v>
      </c>
      <c r="J24" s="29"/>
      <c r="K24" s="18"/>
      <c r="L24" s="30"/>
      <c r="M24" s="31"/>
      <c r="N24" s="32">
        <v>0</v>
      </c>
      <c r="O24" s="33">
        <v>0</v>
      </c>
      <c r="P24" s="33">
        <f t="shared" si="0"/>
        <v>0</v>
      </c>
      <c r="Q24" s="34">
        <v>0.0005</v>
      </c>
      <c r="R24" s="35">
        <f t="shared" si="1"/>
        <v>0</v>
      </c>
      <c r="S24" s="18"/>
      <c r="T24" s="24" t="s">
        <v>32</v>
      </c>
      <c r="U24" s="36"/>
      <c r="V24" s="39"/>
      <c r="W24" s="2"/>
    </row>
    <row r="25" spans="1:23">
      <c r="A25" s="21" t="s">
        <v>27</v>
      </c>
      <c r="B25" s="22" t="s">
        <v>28</v>
      </c>
      <c r="C25" s="23" t="s">
        <v>29</v>
      </c>
      <c r="D25" s="24" t="s">
        <v>30</v>
      </c>
      <c r="E25" s="25" t="s">
        <v>33</v>
      </c>
      <c r="F25" s="37">
        <v>46532</v>
      </c>
      <c r="G25" s="30">
        <v>46562</v>
      </c>
      <c r="H25" s="30">
        <v>46562</v>
      </c>
      <c r="I25" s="28">
        <v>4000</v>
      </c>
      <c r="J25" s="29"/>
      <c r="K25" s="18"/>
      <c r="L25" s="30"/>
      <c r="M25" s="31"/>
      <c r="N25" s="32">
        <v>0</v>
      </c>
      <c r="O25" s="33">
        <v>0</v>
      </c>
      <c r="P25" s="33">
        <f t="shared" si="0"/>
        <v>0</v>
      </c>
      <c r="Q25" s="34">
        <v>0.0005</v>
      </c>
      <c r="R25" s="35">
        <f t="shared" si="1"/>
        <v>0</v>
      </c>
      <c r="S25" s="18"/>
      <c r="T25" s="24" t="s">
        <v>32</v>
      </c>
      <c r="U25" s="36"/>
      <c r="V25" s="39"/>
      <c r="W25" s="2"/>
    </row>
    <row r="26" spans="1:23">
      <c r="A26" s="21" t="s">
        <v>27</v>
      </c>
      <c r="B26" s="22" t="s">
        <v>28</v>
      </c>
      <c r="C26" s="23" t="s">
        <v>29</v>
      </c>
      <c r="D26" s="24" t="s">
        <v>30</v>
      </c>
      <c r="E26" s="25" t="s">
        <v>33</v>
      </c>
      <c r="F26" s="37">
        <v>46563</v>
      </c>
      <c r="G26" s="30">
        <v>46592</v>
      </c>
      <c r="H26" s="30">
        <v>46592</v>
      </c>
      <c r="I26" s="28">
        <v>4000</v>
      </c>
      <c r="J26" s="29"/>
      <c r="K26" s="18"/>
      <c r="L26" s="30"/>
      <c r="M26" s="31"/>
      <c r="N26" s="32">
        <v>0</v>
      </c>
      <c r="O26" s="33">
        <v>0</v>
      </c>
      <c r="P26" s="33">
        <f t="shared" si="0"/>
        <v>0</v>
      </c>
      <c r="Q26" s="34">
        <v>0.0005</v>
      </c>
      <c r="R26" s="35">
        <f t="shared" si="1"/>
        <v>0</v>
      </c>
      <c r="S26" s="18"/>
      <c r="T26" s="24" t="s">
        <v>32</v>
      </c>
      <c r="U26" s="36"/>
      <c r="V26" s="39"/>
      <c r="W26" s="2"/>
    </row>
    <row r="27" spans="1:23">
      <c r="A27" s="21" t="s">
        <v>27</v>
      </c>
      <c r="B27" s="22" t="s">
        <v>28</v>
      </c>
      <c r="C27" s="23" t="s">
        <v>29</v>
      </c>
      <c r="D27" s="24" t="s">
        <v>30</v>
      </c>
      <c r="E27" s="25" t="s">
        <v>33</v>
      </c>
      <c r="F27" s="37">
        <v>46593</v>
      </c>
      <c r="G27" s="30">
        <v>46623</v>
      </c>
      <c r="H27" s="30">
        <v>46623</v>
      </c>
      <c r="I27" s="28">
        <v>4000</v>
      </c>
      <c r="J27" s="29"/>
      <c r="K27" s="18"/>
      <c r="L27" s="30"/>
      <c r="M27" s="31"/>
      <c r="N27" s="32">
        <v>0</v>
      </c>
      <c r="O27" s="33">
        <v>0</v>
      </c>
      <c r="P27" s="33">
        <f t="shared" si="0"/>
        <v>0</v>
      </c>
      <c r="Q27" s="34">
        <v>0.0005</v>
      </c>
      <c r="R27" s="35">
        <f t="shared" si="1"/>
        <v>0</v>
      </c>
      <c r="S27" s="18"/>
      <c r="T27" s="24" t="s">
        <v>32</v>
      </c>
      <c r="U27" s="36"/>
      <c r="V27" s="39"/>
      <c r="W27" s="2"/>
    </row>
    <row r="28" spans="1:23">
      <c r="A28" s="21" t="s">
        <v>27</v>
      </c>
      <c r="B28" s="22" t="s">
        <v>28</v>
      </c>
      <c r="C28" s="23" t="s">
        <v>29</v>
      </c>
      <c r="D28" s="24" t="s">
        <v>30</v>
      </c>
      <c r="E28" s="25" t="s">
        <v>33</v>
      </c>
      <c r="F28" s="37">
        <v>46624</v>
      </c>
      <c r="G28" s="30">
        <v>46654</v>
      </c>
      <c r="H28" s="30">
        <v>46654</v>
      </c>
      <c r="I28" s="28">
        <v>4000</v>
      </c>
      <c r="J28" s="29"/>
      <c r="K28" s="18"/>
      <c r="L28" s="30"/>
      <c r="M28" s="31"/>
      <c r="N28" s="32">
        <v>0</v>
      </c>
      <c r="O28" s="33">
        <v>0</v>
      </c>
      <c r="P28" s="33">
        <f t="shared" si="0"/>
        <v>0</v>
      </c>
      <c r="Q28" s="34">
        <v>0.0005</v>
      </c>
      <c r="R28" s="35">
        <f t="shared" si="1"/>
        <v>0</v>
      </c>
      <c r="S28" s="18"/>
      <c r="T28" s="24" t="s">
        <v>32</v>
      </c>
      <c r="U28" s="36"/>
      <c r="V28" s="40"/>
      <c r="W28" s="2"/>
    </row>
    <row r="29" spans="1:23">
      <c r="A29" s="21" t="s">
        <v>27</v>
      </c>
      <c r="B29" s="22" t="s">
        <v>28</v>
      </c>
      <c r="C29" s="23" t="s">
        <v>29</v>
      </c>
      <c r="D29" s="24" t="s">
        <v>30</v>
      </c>
      <c r="E29" s="25" t="s">
        <v>33</v>
      </c>
      <c r="F29" s="41">
        <v>46655</v>
      </c>
      <c r="G29" s="30">
        <v>46684</v>
      </c>
      <c r="H29" s="37">
        <v>46684</v>
      </c>
      <c r="I29" s="28">
        <v>4000</v>
      </c>
      <c r="J29" s="29"/>
      <c r="K29" s="18"/>
      <c r="L29" s="30"/>
      <c r="M29" s="31"/>
      <c r="N29" s="32">
        <v>0</v>
      </c>
      <c r="O29" s="33">
        <v>0</v>
      </c>
      <c r="P29" s="33">
        <f t="shared" si="0"/>
        <v>0</v>
      </c>
      <c r="Q29" s="34">
        <v>0.0005</v>
      </c>
      <c r="R29" s="35">
        <f t="shared" si="1"/>
        <v>0</v>
      </c>
      <c r="S29" s="18"/>
      <c r="T29" s="24" t="s">
        <v>32</v>
      </c>
      <c r="U29" s="36"/>
      <c r="V29" s="18"/>
      <c r="W29" s="2"/>
    </row>
    <row r="30" spans="1:23">
      <c r="A30" s="21" t="s">
        <v>27</v>
      </c>
      <c r="B30" s="22" t="s">
        <v>28</v>
      </c>
      <c r="C30" s="23" t="s">
        <v>29</v>
      </c>
      <c r="D30" s="24" t="s">
        <v>30</v>
      </c>
      <c r="E30" s="25" t="s">
        <v>33</v>
      </c>
      <c r="F30" s="37">
        <v>46685</v>
      </c>
      <c r="G30" s="30">
        <v>46715</v>
      </c>
      <c r="H30" s="41">
        <v>46715</v>
      </c>
      <c r="I30" s="28">
        <v>4000</v>
      </c>
      <c r="J30" s="29"/>
      <c r="K30" s="18"/>
      <c r="L30" s="30"/>
      <c r="M30" s="31"/>
      <c r="N30" s="32">
        <v>0</v>
      </c>
      <c r="O30" s="33">
        <v>0</v>
      </c>
      <c r="P30" s="33">
        <f t="shared" si="0"/>
        <v>0</v>
      </c>
      <c r="Q30" s="34">
        <v>0.0005</v>
      </c>
      <c r="R30" s="35">
        <f t="shared" si="1"/>
        <v>0</v>
      </c>
      <c r="S30" s="18"/>
      <c r="T30" s="24" t="s">
        <v>32</v>
      </c>
      <c r="U30" s="36"/>
      <c r="V30" s="18"/>
      <c r="W30" s="2"/>
    </row>
    <row r="31" spans="1:23">
      <c r="A31" s="21" t="s">
        <v>27</v>
      </c>
      <c r="B31" s="22" t="s">
        <v>28</v>
      </c>
      <c r="C31" s="23" t="s">
        <v>29</v>
      </c>
      <c r="D31" s="24" t="s">
        <v>30</v>
      </c>
      <c r="E31" s="25" t="s">
        <v>33</v>
      </c>
      <c r="F31" s="41">
        <v>46716</v>
      </c>
      <c r="G31" s="30">
        <v>46745</v>
      </c>
      <c r="H31" s="37">
        <v>46745</v>
      </c>
      <c r="I31" s="28">
        <v>4000</v>
      </c>
      <c r="J31" s="29"/>
      <c r="K31" s="18"/>
      <c r="L31" s="30"/>
      <c r="M31" s="31"/>
      <c r="N31" s="32">
        <v>0</v>
      </c>
      <c r="O31" s="33">
        <v>0</v>
      </c>
      <c r="P31" s="33">
        <f t="shared" si="0"/>
        <v>0</v>
      </c>
      <c r="Q31" s="34">
        <v>0.0005</v>
      </c>
      <c r="R31" s="35">
        <f t="shared" si="1"/>
        <v>0</v>
      </c>
      <c r="S31" s="18"/>
      <c r="T31" s="24" t="s">
        <v>32</v>
      </c>
      <c r="U31" s="36"/>
      <c r="V31" s="18"/>
      <c r="W31" s="2"/>
    </row>
    <row r="32" spans="1:23">
      <c r="A32" s="21" t="s">
        <v>27</v>
      </c>
      <c r="B32" s="22" t="s">
        <v>28</v>
      </c>
      <c r="C32" s="23" t="s">
        <v>29</v>
      </c>
      <c r="D32" s="24" t="s">
        <v>30</v>
      </c>
      <c r="E32" s="25" t="s">
        <v>33</v>
      </c>
      <c r="F32" s="37">
        <v>46746</v>
      </c>
      <c r="G32" s="30">
        <v>46776</v>
      </c>
      <c r="H32" s="41">
        <v>46776</v>
      </c>
      <c r="I32" s="28">
        <v>4000</v>
      </c>
      <c r="J32" s="29"/>
      <c r="K32" s="18"/>
      <c r="L32" s="30"/>
      <c r="M32" s="31"/>
      <c r="N32" s="32">
        <v>0</v>
      </c>
      <c r="O32" s="33">
        <v>0</v>
      </c>
      <c r="P32" s="33">
        <f t="shared" si="0"/>
        <v>0</v>
      </c>
      <c r="Q32" s="34">
        <v>0.0005</v>
      </c>
      <c r="R32" s="35">
        <f t="shared" si="1"/>
        <v>0</v>
      </c>
      <c r="S32" s="18"/>
      <c r="T32" s="24" t="s">
        <v>32</v>
      </c>
      <c r="U32" s="36"/>
      <c r="V32" s="18"/>
      <c r="W32" s="2"/>
    </row>
    <row r="33" spans="1:23">
      <c r="A33" s="21" t="s">
        <v>27</v>
      </c>
      <c r="B33" s="22" t="s">
        <v>28</v>
      </c>
      <c r="C33" s="23" t="s">
        <v>29</v>
      </c>
      <c r="D33" s="24" t="s">
        <v>30</v>
      </c>
      <c r="E33" s="25" t="s">
        <v>33</v>
      </c>
      <c r="F33" s="41">
        <v>46777</v>
      </c>
      <c r="G33" s="30">
        <v>46807</v>
      </c>
      <c r="H33" s="37">
        <v>46807</v>
      </c>
      <c r="I33" s="28">
        <v>4000</v>
      </c>
      <c r="J33" s="29"/>
      <c r="K33" s="18"/>
      <c r="L33" s="30"/>
      <c r="M33" s="31"/>
      <c r="N33" s="32">
        <v>0</v>
      </c>
      <c r="O33" s="33">
        <v>0</v>
      </c>
      <c r="P33" s="33">
        <f t="shared" si="0"/>
        <v>0</v>
      </c>
      <c r="Q33" s="34">
        <v>0.0005</v>
      </c>
      <c r="R33" s="35">
        <f t="shared" si="1"/>
        <v>0</v>
      </c>
      <c r="S33" s="18"/>
      <c r="T33" s="24" t="s">
        <v>32</v>
      </c>
      <c r="U33" s="36"/>
      <c r="V33" s="18"/>
      <c r="W33" s="2"/>
    </row>
    <row r="34" spans="1:23">
      <c r="A34" s="21" t="s">
        <v>27</v>
      </c>
      <c r="B34" s="22" t="s">
        <v>28</v>
      </c>
      <c r="C34" s="23" t="s">
        <v>29</v>
      </c>
      <c r="D34" s="24" t="s">
        <v>30</v>
      </c>
      <c r="E34" s="25" t="s">
        <v>33</v>
      </c>
      <c r="F34" s="37">
        <v>46808</v>
      </c>
      <c r="G34" s="30">
        <v>46836</v>
      </c>
      <c r="H34" s="41">
        <v>46836</v>
      </c>
      <c r="I34" s="28">
        <v>4000</v>
      </c>
      <c r="J34" s="29"/>
      <c r="K34" s="18"/>
      <c r="L34" s="30"/>
      <c r="M34" s="31"/>
      <c r="N34" s="32">
        <v>0</v>
      </c>
      <c r="O34" s="33">
        <v>0</v>
      </c>
      <c r="P34" s="33">
        <f t="shared" si="0"/>
        <v>0</v>
      </c>
      <c r="Q34" s="34">
        <v>0.0005</v>
      </c>
      <c r="R34" s="35">
        <f t="shared" si="1"/>
        <v>0</v>
      </c>
      <c r="S34" s="18"/>
      <c r="T34" s="24" t="s">
        <v>32</v>
      </c>
      <c r="U34" s="36"/>
      <c r="V34" s="18"/>
      <c r="W34" s="2"/>
    </row>
    <row r="35" spans="1:23">
      <c r="A35" s="21" t="s">
        <v>27</v>
      </c>
      <c r="B35" s="22" t="s">
        <v>28</v>
      </c>
      <c r="C35" s="23" t="s">
        <v>29</v>
      </c>
      <c r="D35" s="24" t="s">
        <v>30</v>
      </c>
      <c r="E35" s="25" t="s">
        <v>33</v>
      </c>
      <c r="F35" s="41">
        <v>46837</v>
      </c>
      <c r="G35" s="30">
        <v>46867</v>
      </c>
      <c r="H35" s="37">
        <v>46867</v>
      </c>
      <c r="I35" s="28">
        <v>4000</v>
      </c>
      <c r="J35" s="29"/>
      <c r="K35" s="18"/>
      <c r="L35" s="30"/>
      <c r="M35" s="31"/>
      <c r="N35" s="32">
        <v>0</v>
      </c>
      <c r="O35" s="33">
        <v>0</v>
      </c>
      <c r="P35" s="33">
        <f t="shared" si="0"/>
        <v>0</v>
      </c>
      <c r="Q35" s="34">
        <v>0.0005</v>
      </c>
      <c r="R35" s="35">
        <f t="shared" si="1"/>
        <v>0</v>
      </c>
      <c r="S35" s="18"/>
      <c r="T35" s="24" t="s">
        <v>32</v>
      </c>
      <c r="U35" s="36"/>
      <c r="V35" s="18"/>
      <c r="W35" s="2"/>
    </row>
    <row r="36" spans="1:23">
      <c r="A36" s="21" t="s">
        <v>27</v>
      </c>
      <c r="B36" s="22" t="s">
        <v>28</v>
      </c>
      <c r="C36" s="23" t="s">
        <v>29</v>
      </c>
      <c r="D36" s="24" t="s">
        <v>30</v>
      </c>
      <c r="E36" s="25" t="s">
        <v>33</v>
      </c>
      <c r="F36" s="37">
        <v>46868</v>
      </c>
      <c r="G36" s="30">
        <v>46897</v>
      </c>
      <c r="H36" s="41">
        <v>46897</v>
      </c>
      <c r="I36" s="28">
        <v>4000</v>
      </c>
      <c r="J36" s="29"/>
      <c r="K36" s="18"/>
      <c r="L36" s="30"/>
      <c r="M36" s="31"/>
      <c r="N36" s="32">
        <v>0</v>
      </c>
      <c r="O36" s="33">
        <v>0</v>
      </c>
      <c r="P36" s="33">
        <f t="shared" si="0"/>
        <v>0</v>
      </c>
      <c r="Q36" s="34">
        <v>0.0005</v>
      </c>
      <c r="R36" s="35">
        <f t="shared" si="1"/>
        <v>0</v>
      </c>
      <c r="S36" s="18"/>
      <c r="T36" s="24" t="s">
        <v>32</v>
      </c>
      <c r="U36" s="36"/>
      <c r="V36" s="18"/>
      <c r="W36" s="2"/>
    </row>
    <row r="37" spans="1:23">
      <c r="A37" s="21" t="s">
        <v>27</v>
      </c>
      <c r="B37" s="22" t="s">
        <v>28</v>
      </c>
      <c r="C37" s="23" t="s">
        <v>29</v>
      </c>
      <c r="D37" s="24" t="s">
        <v>30</v>
      </c>
      <c r="E37" s="25" t="s">
        <v>33</v>
      </c>
      <c r="F37" s="41">
        <v>46898</v>
      </c>
      <c r="G37" s="30">
        <v>46928</v>
      </c>
      <c r="H37" s="37">
        <v>46928</v>
      </c>
      <c r="I37" s="28">
        <v>4000</v>
      </c>
      <c r="J37" s="29"/>
      <c r="K37" s="18"/>
      <c r="L37" s="30"/>
      <c r="M37" s="31"/>
      <c r="N37" s="32">
        <v>0</v>
      </c>
      <c r="O37" s="33">
        <v>0</v>
      </c>
      <c r="P37" s="33">
        <f t="shared" si="0"/>
        <v>0</v>
      </c>
      <c r="Q37" s="34">
        <v>0.0005</v>
      </c>
      <c r="R37" s="35">
        <f t="shared" si="1"/>
        <v>0</v>
      </c>
      <c r="S37" s="18"/>
      <c r="T37" s="24" t="s">
        <v>32</v>
      </c>
      <c r="U37" s="36"/>
      <c r="V37" s="18"/>
      <c r="W37" s="2"/>
    </row>
    <row r="38" spans="1:23">
      <c r="A38" s="21" t="s">
        <v>27</v>
      </c>
      <c r="B38" s="22" t="s">
        <v>28</v>
      </c>
      <c r="C38" s="23" t="s">
        <v>29</v>
      </c>
      <c r="D38" s="24" t="s">
        <v>30</v>
      </c>
      <c r="E38" s="25" t="s">
        <v>33</v>
      </c>
      <c r="F38" s="37">
        <v>46929</v>
      </c>
      <c r="G38" s="30">
        <v>46958</v>
      </c>
      <c r="H38" s="41">
        <v>46958</v>
      </c>
      <c r="I38" s="28">
        <v>4000</v>
      </c>
      <c r="J38" s="29"/>
      <c r="K38" s="18"/>
      <c r="L38" s="30"/>
      <c r="M38" s="31"/>
      <c r="N38" s="32">
        <v>0</v>
      </c>
      <c r="O38" s="33">
        <v>0</v>
      </c>
      <c r="P38" s="33">
        <f t="shared" si="0"/>
        <v>0</v>
      </c>
      <c r="Q38" s="34">
        <v>0.0005</v>
      </c>
      <c r="R38" s="35">
        <f t="shared" si="1"/>
        <v>0</v>
      </c>
      <c r="S38" s="18"/>
      <c r="T38" s="24" t="s">
        <v>32</v>
      </c>
      <c r="U38" s="36"/>
      <c r="V38" s="18"/>
      <c r="W38" s="2"/>
    </row>
    <row r="39" spans="1:23">
      <c r="A39" s="21" t="s">
        <v>27</v>
      </c>
      <c r="B39" s="22" t="s">
        <v>28</v>
      </c>
      <c r="C39" s="23" t="s">
        <v>29</v>
      </c>
      <c r="D39" s="24" t="s">
        <v>30</v>
      </c>
      <c r="E39" s="25" t="s">
        <v>33</v>
      </c>
      <c r="F39" s="41">
        <v>46959</v>
      </c>
      <c r="G39" s="30">
        <v>46989</v>
      </c>
      <c r="H39" s="37">
        <v>46989</v>
      </c>
      <c r="I39" s="28">
        <v>4000</v>
      </c>
      <c r="J39" s="29"/>
      <c r="K39" s="18"/>
      <c r="L39" s="30"/>
      <c r="M39" s="31"/>
      <c r="N39" s="32">
        <v>0</v>
      </c>
      <c r="O39" s="33">
        <v>0</v>
      </c>
      <c r="P39" s="33">
        <f t="shared" si="0"/>
        <v>0</v>
      </c>
      <c r="Q39" s="34">
        <v>0.0005</v>
      </c>
      <c r="R39" s="35">
        <f t="shared" si="1"/>
        <v>0</v>
      </c>
      <c r="S39" s="18"/>
      <c r="T39" s="24" t="s">
        <v>32</v>
      </c>
      <c r="U39" s="36"/>
      <c r="V39" s="18"/>
      <c r="W39" s="2"/>
    </row>
    <row r="40" spans="1:23">
      <c r="A40" s="21" t="s">
        <v>27</v>
      </c>
      <c r="B40" s="22" t="s">
        <v>28</v>
      </c>
      <c r="C40" s="23" t="s">
        <v>29</v>
      </c>
      <c r="D40" s="24" t="s">
        <v>30</v>
      </c>
      <c r="E40" s="25" t="s">
        <v>33</v>
      </c>
      <c r="F40" s="37">
        <v>46990</v>
      </c>
      <c r="G40" s="30">
        <v>47020</v>
      </c>
      <c r="H40" s="41">
        <v>47020</v>
      </c>
      <c r="I40" s="28">
        <v>4000</v>
      </c>
      <c r="J40" s="29"/>
      <c r="K40" s="18"/>
      <c r="L40" s="30"/>
      <c r="M40" s="31"/>
      <c r="N40" s="32">
        <v>0</v>
      </c>
      <c r="O40" s="33">
        <v>0</v>
      </c>
      <c r="P40" s="33">
        <f t="shared" si="0"/>
        <v>0</v>
      </c>
      <c r="Q40" s="34">
        <v>0.0005</v>
      </c>
      <c r="R40" s="35">
        <f t="shared" si="1"/>
        <v>0</v>
      </c>
      <c r="S40" s="18"/>
      <c r="T40" s="24" t="s">
        <v>32</v>
      </c>
      <c r="U40" s="36"/>
      <c r="V40" s="18"/>
      <c r="W40" s="2"/>
    </row>
    <row r="41" spans="1:23">
      <c r="A41" s="21" t="s">
        <v>27</v>
      </c>
      <c r="B41" s="22" t="s">
        <v>28</v>
      </c>
      <c r="C41" s="23" t="s">
        <v>29</v>
      </c>
      <c r="D41" s="24" t="s">
        <v>30</v>
      </c>
      <c r="E41" s="25" t="s">
        <v>33</v>
      </c>
      <c r="F41" s="41">
        <v>47021</v>
      </c>
      <c r="G41" s="30">
        <v>47050</v>
      </c>
      <c r="H41" s="37">
        <v>47050</v>
      </c>
      <c r="I41" s="28">
        <v>4000</v>
      </c>
      <c r="J41" s="29"/>
      <c r="K41" s="18"/>
      <c r="L41" s="30"/>
      <c r="M41" s="31"/>
      <c r="N41" s="32">
        <v>0</v>
      </c>
      <c r="O41" s="33">
        <v>0</v>
      </c>
      <c r="P41" s="33">
        <f t="shared" si="0"/>
        <v>0</v>
      </c>
      <c r="Q41" s="34">
        <v>0.0005</v>
      </c>
      <c r="R41" s="35">
        <f t="shared" si="1"/>
        <v>0</v>
      </c>
      <c r="S41" s="18"/>
      <c r="T41" s="24" t="s">
        <v>32</v>
      </c>
      <c r="U41" s="36"/>
      <c r="V41" s="18"/>
      <c r="W41" s="2"/>
    </row>
  </sheetData>
  <mergeCells count="20">
    <mergeCell ref="A1:V1"/>
    <mergeCell ref="P2:Q2"/>
    <mergeCell ref="F3:G3"/>
    <mergeCell ref="H3:I3"/>
    <mergeCell ref="J3:K3"/>
    <mergeCell ref="L3:M3"/>
    <mergeCell ref="A3:A4"/>
    <mergeCell ref="B3:B4"/>
    <mergeCell ref="C3:C4"/>
    <mergeCell ref="D3:D4"/>
    <mergeCell ref="E3:E4"/>
    <mergeCell ref="N3:N4"/>
    <mergeCell ref="O3:O4"/>
    <mergeCell ref="P3:P4"/>
    <mergeCell ref="Q3:Q4"/>
    <mergeCell ref="R3:R4"/>
    <mergeCell ref="S3:S4"/>
    <mergeCell ref="T3:T4"/>
    <mergeCell ref="U3:U4"/>
    <mergeCell ref="V3:V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〆　　． 花清香 ぃ</cp:lastModifiedBy>
  <dcterms:created xsi:type="dcterms:W3CDTF">2026-06-03T02:04:02Z</dcterms:created>
  <dcterms:modified xsi:type="dcterms:W3CDTF">2026-06-03T02:08:03Z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D0D21089B68041E9B8F973211CE3851B_11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